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966BC285399D330/Documents/"/>
    </mc:Choice>
  </mc:AlternateContent>
  <xr:revisionPtr revIDLastSave="0" documentId="8_{B25CBED4-4C34-4631-AFFE-B13103B5230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O17" i="2"/>
  <c r="O1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O13" i="2"/>
  <c r="O11" i="2"/>
  <c r="O9" i="2"/>
  <c r="O7" i="2"/>
  <c r="O5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<sst xmlns="http://schemas.openxmlformats.org/spreadsheetml/2006/main" count="170" uniqueCount="121">
  <si>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</si>
  <si>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</si>
  <si>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</si>
  <si>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</si>
  <si>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</si>
  <si>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</si>
  <si>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</si>
  <si>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</si>
  <si>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</si>
  <si>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</si>
  <si>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</si>
  <si>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</si>
  <si>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</si>
  <si>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</si>
  <si>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</si>
  <si>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</si>
  <si>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</si>
  <si>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</si>
  <si>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</si>
  <si>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</si>
  <si>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</si>
  <si>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</si>
  <si>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</si>
  <si>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</si>
  <si>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</si>
  <si>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</si>
  <si>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</si>
  <si>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</si>
  <si>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</si>
  <si>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</si>
  <si>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</si>
  <si>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</si>
  <si>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</si>
  <si>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</si>
  <si>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</si>
  <si>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</si>
  <si>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</si>
  <si>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</si>
  <si>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</si>
  <si>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</si>
  <si>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</si>
  <si>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</si>
  <si>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</si>
  <si>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</si>
  <si>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</si>
  <si>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</si>
  <si>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</si>
  <si>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</si>
  <si>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</si>
  <si>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</si>
  <si>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</si>
  <si>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</si>
  <si>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</si>
  <si>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</si>
  <si>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</si>
  <si>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</si>
  <si>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</si>
  <si>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</si>
  <si>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</si>
  <si>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</si>
  <si>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</si>
  <si>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</si>
  <si>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</si>
  <si>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</si>
  <si>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</si>
  <si>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</si>
  <si>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</si>
  <si>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</si>
  <si>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</si>
  <si>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</si>
  <si>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</si>
  <si>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</si>
  <si>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</si>
  <si>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</si>
  <si>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</si>
  <si>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</si>
  <si>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</si>
  <si>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</si>
  <si>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</si>
  <si>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</si>
  <si>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</si>
  <si>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</si>
  <si>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</si>
  <si>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</si>
  <si>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</si>
  <si>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</si>
  <si>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</si>
  <si>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</si>
  <si>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</si>
  <si>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</si>
  <si>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</si>
  <si>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</si>
  <si>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</si>
  <si>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</si>
  <si>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</si>
  <si>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</si>
  <si>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</si>
  <si>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</si>
  <si>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</si>
  <si>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</si>
  <si>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</si>
  <si>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</si>
  <si>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</si>
  <si>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</si>
  <si>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</si>
  <si>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</si>
  <si>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</si>
  <si>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</si>
  <si>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</si>
  <si>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</si>
  <si>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Products</t>
  </si>
  <si>
    <t>Average Price of the Products</t>
  </si>
  <si>
    <t>Minimum Price</t>
  </si>
  <si>
    <t>Maximum Price</t>
  </si>
  <si>
    <t>Price Range</t>
  </si>
  <si>
    <t xml:space="preserve">Total Price of Electronics </t>
  </si>
  <si>
    <t>Count of Products with a Price less than $100</t>
  </si>
  <si>
    <t>Day</t>
  </si>
  <si>
    <t>Country Code</t>
  </si>
  <si>
    <t>Month</t>
  </si>
  <si>
    <t xml:space="preserve">Total price of all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</si>
</sst>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7" fillId="2" borderId="2" xfId="0" applyFont="1" applyFill="1" applyBorder="1" applyAlignment="1">
      <alignment horizontal="center"/>
    </xf>
    <xf numFmtId="0" fontId="0" fillId="0" borderId="2" xfId="0" applyBorder="1"/>
    <xf numFmtId="0" fontId="6" fillId="3" borderId="1" xfId="0" applyFont="1" applyFill="1" applyBorder="1"/>
    <xf numFmtId="0" fontId="7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069010-5B53-408D-942D-C4D7423DDE2E}" name="Table3" displayName="Table3" ref="A1:J35" totalsRowShown="0" headerRowDxfId="7" dataDxfId="8" tableBorderDxfId="12">
  <autoFilter ref="A1:J35" xr:uid="{DB069010-5B53-408D-942D-C4D7423DDE2E}"/>
  <tableColumns count="10">
    <tableColumn id="1" xr3:uid="{A7DA9CFA-2C01-4B74-8663-1CD19EF23EC5}" name="Product ID" dataDxfId="0"/>
    <tableColumn id="2" xr3:uid="{DEA0A792-FC75-4AA8-B213-CC716E14AB9C}" name="Product Name" dataDxfId="5"/>
    <tableColumn id="3" xr3:uid="{F3D3027C-351B-4522-AFA1-39D93EA2454A}" name="Brand Name" dataDxfId="4"/>
    <tableColumn id="4" xr3:uid="{F660C6B9-9421-4C33-A150-B45AE15483EB}" name="Price ($)" dataDxfId="3"/>
    <tableColumn id="5" xr3:uid="{07AD2738-1B2C-4590-9BE6-A1C971B31898}" name="Quantity" dataDxfId="2"/>
    <tableColumn id="6" xr3:uid="{47C2E49C-4ED0-4ECF-A6E9-1B128294D763}" name="Category" dataDxfId="1"/>
    <tableColumn id="7" xr3:uid="{95FE7CDD-43CB-4F6E-8D1E-2A142AD56DDD}" name="Price Range" dataDxfId="6">
      <calculatedColumnFormula>IF(D2&gt;=500,"High Price","Standard Price")</calculatedColumnFormula>
    </tableColumn>
    <tableColumn id="8" xr3:uid="{7ECD1AAF-37D0-4022-9404-1FB569F209A4}" name="Day" dataDxfId="11">
      <calculatedColumnFormula>LEFT(Dataset!A2,2)</calculatedColumnFormula>
    </tableColumn>
    <tableColumn id="9" xr3:uid="{3565AF0F-FDC3-4DD9-B7C9-6F9216CDD4D8}" name="Country Code" dataDxfId="10">
      <calculatedColumnFormula>RIGHT(A2,2)</calculatedColumnFormula>
    </tableColumn>
    <tableColumn id="10" xr3:uid="{C30FB8BD-3AE7-4818-B8BA-A9DCA5257D6F}" name="Month" dataDxfId="9">
      <calculatedColumnFormula>MID(A2,4,3)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7" workbookViewId="0">
      <selection activeCell="J19" sqref="J1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A11" workbookViewId="0">
      <selection activeCell="Q10" sqref="Q10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  <col min="7" max="7" width="15.81640625" customWidth="1"/>
    <col min="9" max="9" width="14.7265625" customWidth="1"/>
  </cols>
  <sheetData>
    <row r="1" spans="1:16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7" t="s">
        <v>114</v>
      </c>
      <c r="H1" s="7" t="s">
        <v>117</v>
      </c>
      <c r="I1" s="7" t="s">
        <v>118</v>
      </c>
      <c r="J1" s="9" t="s">
        <v>119</v>
      </c>
      <c r="K1" s="12"/>
    </row>
    <row r="2" spans="1:16" ht="15.75" customHeight="1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 t="str">
        <f>IF(D2&gt;=500,"High Price","Standard Price")</f>
        <v>High Price</v>
      </c>
      <c r="H2" s="8" t="str">
        <f>LEFT(Dataset!A2,2)</f>
        <v>28</v>
      </c>
      <c r="I2" s="8" t="str">
        <f>RIGHT(A2,2)</f>
        <v>US</v>
      </c>
      <c r="J2" s="10" t="str">
        <f>MID(A2,4,3)</f>
        <v>JAN</v>
      </c>
      <c r="K2" s="13"/>
    </row>
    <row r="3" spans="1:16" ht="15.75" customHeight="1" thickBot="1" x14ac:dyDescent="0.3">
      <c r="A3" s="11" t="s">
        <v>27</v>
      </c>
      <c r="B3" s="11" t="s">
        <v>28</v>
      </c>
      <c r="C3" s="11" t="s">
        <v>29</v>
      </c>
      <c r="D3" s="11">
        <v>80</v>
      </c>
      <c r="E3" s="11">
        <v>15</v>
      </c>
      <c r="F3" s="11" t="s">
        <v>30</v>
      </c>
      <c r="G3" s="8" t="str">
        <f>IF(D3&gt;=500,"High Price","Standard Price")</f>
        <v>Standard Price</v>
      </c>
      <c r="H3" s="8" t="str">
        <f>LEFT(Dataset!A3,2)</f>
        <v>15</v>
      </c>
      <c r="I3" s="8" t="str">
        <f>RIGHT(A3,2)</f>
        <v>US</v>
      </c>
      <c r="J3" s="10" t="str">
        <f t="shared" ref="J3:J35" si="0">MID(A3,4,3)</f>
        <v>FEB</v>
      </c>
      <c r="K3" s="13"/>
    </row>
    <row r="4" spans="1:16" ht="15.75" customHeight="1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 t="str">
        <f>IF(D4&gt;=500,"High Price","Standard Price")</f>
        <v>Standard Price</v>
      </c>
      <c r="H4" s="8" t="str">
        <f>LEFT(Dataset!A4,2)</f>
        <v>03</v>
      </c>
      <c r="I4" s="8" t="str">
        <f>RIGHT(A4,2)</f>
        <v>US</v>
      </c>
      <c r="J4" s="10" t="str">
        <f t="shared" si="0"/>
        <v>MAR</v>
      </c>
      <c r="K4" s="13"/>
      <c r="L4" s="14"/>
      <c r="M4" s="15"/>
      <c r="N4" s="15"/>
      <c r="O4" s="15"/>
      <c r="P4" s="16"/>
    </row>
    <row r="5" spans="1:16" ht="15.75" customHeight="1" x14ac:dyDescent="0.25">
      <c r="A5" s="11" t="s">
        <v>35</v>
      </c>
      <c r="B5" s="11" t="s">
        <v>36</v>
      </c>
      <c r="C5" s="11" t="s">
        <v>37</v>
      </c>
      <c r="D5" s="11">
        <v>900</v>
      </c>
      <c r="E5" s="11">
        <v>25</v>
      </c>
      <c r="F5" s="11" t="s">
        <v>26</v>
      </c>
      <c r="G5" s="8" t="str">
        <f>IF(D5&gt;=500,"High Price","Standard Price")</f>
        <v>High Price</v>
      </c>
      <c r="H5" s="8" t="str">
        <f>LEFT(Dataset!A5,2)</f>
        <v>11</v>
      </c>
      <c r="I5" s="8" t="str">
        <f>RIGHT(A5,2)</f>
        <v>US</v>
      </c>
      <c r="J5" s="10" t="str">
        <f t="shared" si="0"/>
        <v>APR</v>
      </c>
      <c r="K5" s="13"/>
      <c r="L5" s="17" t="s">
        <v>120</v>
      </c>
      <c r="M5" s="13"/>
      <c r="N5" s="13"/>
      <c r="O5" s="13">
        <f>SUM(D2:D35)</f>
        <v>10100</v>
      </c>
      <c r="P5" s="18"/>
    </row>
    <row r="6" spans="1:16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 t="str">
        <f>IF(D6&gt;=500,"High Price","Standard Price")</f>
        <v>Standard Price</v>
      </c>
      <c r="H6" s="8" t="str">
        <f>LEFT(Dataset!A6,2)</f>
        <v>22</v>
      </c>
      <c r="I6" s="8" t="str">
        <f>RIGHT(A6,2)</f>
        <v>US</v>
      </c>
      <c r="J6" s="10" t="str">
        <f t="shared" si="0"/>
        <v>MAY</v>
      </c>
      <c r="K6" s="13"/>
      <c r="L6" s="17"/>
      <c r="M6" s="13"/>
      <c r="N6" s="13"/>
      <c r="O6" s="13"/>
      <c r="P6" s="18"/>
    </row>
    <row r="7" spans="1:16" ht="15.75" customHeight="1" x14ac:dyDescent="0.25">
      <c r="A7" s="11" t="s">
        <v>42</v>
      </c>
      <c r="B7" s="11" t="s">
        <v>43</v>
      </c>
      <c r="C7" s="11" t="s">
        <v>44</v>
      </c>
      <c r="D7" s="11">
        <v>200</v>
      </c>
      <c r="E7" s="11">
        <v>45</v>
      </c>
      <c r="F7" s="11" t="s">
        <v>26</v>
      </c>
      <c r="G7" s="8" t="str">
        <f>IF(D7&gt;=500,"High Price","Standard Price")</f>
        <v>Standard Price</v>
      </c>
      <c r="H7" s="8" t="str">
        <f>LEFT(Dataset!A7,2)</f>
        <v>07</v>
      </c>
      <c r="I7" s="8" t="str">
        <f>RIGHT(A7,2)</f>
        <v>UK</v>
      </c>
      <c r="J7" s="10" t="str">
        <f t="shared" si="0"/>
        <v>JUN</v>
      </c>
      <c r="K7" s="13"/>
      <c r="L7" s="17" t="s">
        <v>110</v>
      </c>
      <c r="M7" s="13"/>
      <c r="N7" s="13"/>
      <c r="O7" s="13">
        <f>COUNTA(B2:B35)</f>
        <v>34</v>
      </c>
      <c r="P7" s="18"/>
    </row>
    <row r="8" spans="1:16" ht="15.75" customHeight="1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 t="str">
        <f>IF(D8&gt;=500,"High Price","Standard Price")</f>
        <v>Standard Price</v>
      </c>
      <c r="H8" s="8" t="str">
        <f>LEFT(Dataset!A8,2)</f>
        <v>19</v>
      </c>
      <c r="I8" s="8" t="str">
        <f>RIGHT(A8,2)</f>
        <v>UK</v>
      </c>
      <c r="J8" s="10" t="str">
        <f t="shared" si="0"/>
        <v>JUL</v>
      </c>
      <c r="K8" s="13"/>
      <c r="L8" s="17"/>
      <c r="M8" s="13"/>
      <c r="N8" s="13"/>
      <c r="O8" s="13"/>
      <c r="P8" s="18"/>
    </row>
    <row r="9" spans="1:16" ht="15.75" customHeight="1" x14ac:dyDescent="0.25">
      <c r="A9" s="11" t="s">
        <v>48</v>
      </c>
      <c r="B9" s="11" t="s">
        <v>49</v>
      </c>
      <c r="C9" s="11" t="s">
        <v>50</v>
      </c>
      <c r="D9" s="11">
        <v>90</v>
      </c>
      <c r="E9" s="11">
        <v>35</v>
      </c>
      <c r="F9" s="11" t="s">
        <v>34</v>
      </c>
      <c r="G9" s="8" t="str">
        <f>IF(D9&gt;=500,"High Price","Standard Price")</f>
        <v>Standard Price</v>
      </c>
      <c r="H9" s="8" t="str">
        <f>LEFT(Dataset!A9,2)</f>
        <v>23</v>
      </c>
      <c r="I9" s="8" t="str">
        <f>RIGHT(A9,2)</f>
        <v>UK</v>
      </c>
      <c r="J9" s="10" t="str">
        <f t="shared" si="0"/>
        <v>AUG</v>
      </c>
      <c r="K9" s="13"/>
      <c r="L9" s="17" t="s">
        <v>111</v>
      </c>
      <c r="M9" s="13"/>
      <c r="N9" s="13"/>
      <c r="O9" s="13">
        <f>AVERAGE(D2:D35)</f>
        <v>297.05882352941177</v>
      </c>
      <c r="P9" s="18"/>
    </row>
    <row r="10" spans="1:16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 t="str">
        <f>IF(D10&gt;=500,"High Price","Standard Price")</f>
        <v>High Price</v>
      </c>
      <c r="H10" s="8" t="str">
        <f>LEFT(Dataset!A10,2)</f>
        <v>05</v>
      </c>
      <c r="I10" s="8" t="str">
        <f>RIGHT(A10,2)</f>
        <v>UK</v>
      </c>
      <c r="J10" s="10" t="str">
        <f t="shared" si="0"/>
        <v>SEP</v>
      </c>
      <c r="K10" s="13"/>
      <c r="L10" s="17"/>
      <c r="M10" s="13"/>
      <c r="N10" s="13"/>
      <c r="O10" s="13"/>
      <c r="P10" s="18"/>
    </row>
    <row r="11" spans="1:16" ht="15.75" customHeight="1" x14ac:dyDescent="0.25">
      <c r="A11" s="11" t="s">
        <v>54</v>
      </c>
      <c r="B11" s="11" t="s">
        <v>55</v>
      </c>
      <c r="C11" s="11" t="s">
        <v>56</v>
      </c>
      <c r="D11" s="11">
        <v>130</v>
      </c>
      <c r="E11" s="11">
        <v>10</v>
      </c>
      <c r="F11" s="11" t="s">
        <v>41</v>
      </c>
      <c r="G11" s="8" t="str">
        <f>IF(D11&gt;=500,"High Price","Standard Price")</f>
        <v>Standard Price</v>
      </c>
      <c r="H11" s="8" t="str">
        <f>LEFT(Dataset!A11,2)</f>
        <v>14</v>
      </c>
      <c r="I11" s="8" t="str">
        <f>RIGHT(A11,2)</f>
        <v>UK</v>
      </c>
      <c r="J11" s="10" t="str">
        <f t="shared" si="0"/>
        <v>OCT</v>
      </c>
      <c r="K11" s="13"/>
      <c r="L11" s="17" t="s">
        <v>112</v>
      </c>
      <c r="M11" s="13"/>
      <c r="N11" s="13"/>
      <c r="O11" s="13">
        <f>MIN(D2:D35)</f>
        <v>30</v>
      </c>
      <c r="P11" s="18"/>
    </row>
    <row r="12" spans="1:16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 t="str">
        <f>IF(D12&gt;=500,"High Price","Standard Price")</f>
        <v>High Price</v>
      </c>
      <c r="H12" s="8" t="str">
        <f>LEFT(Dataset!A12,2)</f>
        <v>17</v>
      </c>
      <c r="I12" s="8" t="str">
        <f>RIGHT(A12,2)</f>
        <v>IN</v>
      </c>
      <c r="J12" s="10" t="str">
        <f t="shared" si="0"/>
        <v>JUN</v>
      </c>
      <c r="K12" s="13"/>
      <c r="L12" s="17"/>
      <c r="M12" s="13"/>
      <c r="N12" s="13"/>
      <c r="O12" s="13"/>
      <c r="P12" s="18"/>
    </row>
    <row r="13" spans="1:16" ht="15.75" customHeight="1" x14ac:dyDescent="0.25">
      <c r="A13" s="11" t="s">
        <v>59</v>
      </c>
      <c r="B13" s="11" t="s">
        <v>28</v>
      </c>
      <c r="C13" s="11" t="s">
        <v>47</v>
      </c>
      <c r="D13" s="11">
        <v>90</v>
      </c>
      <c r="E13" s="11">
        <v>40</v>
      </c>
      <c r="F13" s="11" t="s">
        <v>30</v>
      </c>
      <c r="G13" s="8" t="str">
        <f>IF(D13&gt;=500,"High Price","Standard Price")</f>
        <v>Standard Price</v>
      </c>
      <c r="H13" s="8" t="str">
        <f>LEFT(Dataset!A13,2)</f>
        <v>25</v>
      </c>
      <c r="I13" s="8" t="str">
        <f>RIGHT(A13,2)</f>
        <v>AU</v>
      </c>
      <c r="J13" s="10" t="str">
        <f t="shared" si="0"/>
        <v>NOV</v>
      </c>
      <c r="K13" s="13"/>
      <c r="L13" s="17" t="s">
        <v>113</v>
      </c>
      <c r="M13" s="13"/>
      <c r="N13" s="13"/>
      <c r="O13" s="13">
        <f>MAX(D2:D35)</f>
        <v>1000</v>
      </c>
      <c r="P13" s="18"/>
    </row>
    <row r="14" spans="1:16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 t="str">
        <f>IF(D14&gt;=500,"High Price","Standard Price")</f>
        <v>Standard Price</v>
      </c>
      <c r="H14" s="8" t="str">
        <f>LEFT(Dataset!A14,2)</f>
        <v>08</v>
      </c>
      <c r="I14" s="8" t="str">
        <f>RIGHT(A14,2)</f>
        <v>DE</v>
      </c>
      <c r="J14" s="10" t="str">
        <f t="shared" si="0"/>
        <v>DEC</v>
      </c>
      <c r="K14" s="13"/>
      <c r="L14" s="17"/>
      <c r="M14" s="13"/>
      <c r="N14" s="13"/>
      <c r="O14" s="13"/>
      <c r="P14" s="18"/>
    </row>
    <row r="15" spans="1:16" ht="15.75" customHeight="1" x14ac:dyDescent="0.25">
      <c r="A15" s="11" t="s">
        <v>62</v>
      </c>
      <c r="B15" s="11" t="s">
        <v>63</v>
      </c>
      <c r="C15" s="11" t="s">
        <v>64</v>
      </c>
      <c r="D15" s="11">
        <v>150</v>
      </c>
      <c r="E15" s="11">
        <v>15</v>
      </c>
      <c r="F15" s="11" t="s">
        <v>26</v>
      </c>
      <c r="G15" s="8" t="str">
        <f>IF(D15&gt;=500,"High Price","Standard Price")</f>
        <v>Standard Price</v>
      </c>
      <c r="H15" s="8" t="str">
        <f>LEFT(Dataset!A15,2)</f>
        <v>18</v>
      </c>
      <c r="I15" s="8" t="str">
        <f>RIGHT(A15,2)</f>
        <v>CA</v>
      </c>
      <c r="J15" s="10" t="str">
        <f t="shared" si="0"/>
        <v>FEB</v>
      </c>
      <c r="K15" s="13"/>
      <c r="L15" s="19" t="s">
        <v>115</v>
      </c>
      <c r="M15" s="13"/>
      <c r="N15" s="13"/>
      <c r="O15" s="13">
        <f>SUMIF(F2:F35,"Electronics",D2:D35)</f>
        <v>8050</v>
      </c>
      <c r="P15" s="18"/>
    </row>
    <row r="16" spans="1:16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 t="str">
        <f>IF(D16&gt;=500,"High Price","Standard Price")</f>
        <v>Standard Price</v>
      </c>
      <c r="H16" s="8" t="str">
        <f>LEFT(Dataset!A16,2)</f>
        <v>16</v>
      </c>
      <c r="I16" s="8" t="str">
        <f>RIGHT(A16,2)</f>
        <v>ES</v>
      </c>
      <c r="J16" s="10" t="str">
        <f t="shared" si="0"/>
        <v>APR</v>
      </c>
      <c r="K16" s="13"/>
      <c r="L16" s="17"/>
      <c r="M16" s="13"/>
      <c r="N16" s="13"/>
      <c r="O16" s="13"/>
      <c r="P16" s="18"/>
    </row>
    <row r="17" spans="1:16" ht="15.75" customHeight="1" x14ac:dyDescent="0.25">
      <c r="A17" s="11" t="s">
        <v>67</v>
      </c>
      <c r="B17" s="11" t="s">
        <v>68</v>
      </c>
      <c r="C17" s="11" t="s">
        <v>69</v>
      </c>
      <c r="D17" s="11">
        <v>50</v>
      </c>
      <c r="E17" s="11">
        <v>35</v>
      </c>
      <c r="F17" s="11" t="s">
        <v>70</v>
      </c>
      <c r="G17" s="8" t="str">
        <f>IF(D17&gt;=500,"High Price","Standard Price")</f>
        <v>Standard Price</v>
      </c>
      <c r="H17" s="8" t="str">
        <f>LEFT(Dataset!A17,2)</f>
        <v>21</v>
      </c>
      <c r="I17" s="8" t="str">
        <f>RIGHT(A17,2)</f>
        <v>CA</v>
      </c>
      <c r="J17" s="10" t="str">
        <f t="shared" si="0"/>
        <v>AUG</v>
      </c>
      <c r="K17" s="13"/>
      <c r="L17" s="19" t="s">
        <v>116</v>
      </c>
      <c r="M17" s="13"/>
      <c r="N17" s="13"/>
      <c r="O17" s="13">
        <f>COUNTIF(Dataset!D2:D35,"&lt;100")</f>
        <v>11</v>
      </c>
      <c r="P17" s="18"/>
    </row>
    <row r="18" spans="1:16" ht="15.75" customHeight="1" thickBot="1" x14ac:dyDescent="0.3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 t="str">
        <f>IF(D18&gt;=500,"High Price","Standard Price")</f>
        <v>Standard Price</v>
      </c>
      <c r="H18" s="8" t="str">
        <f>LEFT(Dataset!A18,2)</f>
        <v>20</v>
      </c>
      <c r="I18" s="8" t="str">
        <f>RIGHT(A18,2)</f>
        <v>CN</v>
      </c>
      <c r="J18" s="10" t="str">
        <f t="shared" si="0"/>
        <v>AUG</v>
      </c>
      <c r="K18" s="13"/>
      <c r="L18" s="20"/>
      <c r="M18" s="21"/>
      <c r="N18" s="21"/>
      <c r="O18" s="21"/>
      <c r="P18" s="22"/>
    </row>
    <row r="19" spans="1:16" ht="15.75" customHeight="1" x14ac:dyDescent="0.25">
      <c r="A19" s="11" t="s">
        <v>73</v>
      </c>
      <c r="B19" s="11" t="s">
        <v>24</v>
      </c>
      <c r="C19" s="11" t="s">
        <v>74</v>
      </c>
      <c r="D19" s="11">
        <v>980</v>
      </c>
      <c r="E19" s="11">
        <v>10</v>
      </c>
      <c r="F19" s="11" t="s">
        <v>26</v>
      </c>
      <c r="G19" s="8" t="str">
        <f>IF(D19&gt;=500,"High Price","Standard Price")</f>
        <v>High Price</v>
      </c>
      <c r="H19" s="8" t="str">
        <f>LEFT(Dataset!A19,2)</f>
        <v>27</v>
      </c>
      <c r="I19" s="8" t="str">
        <f>RIGHT(A19,2)</f>
        <v>IT</v>
      </c>
      <c r="J19" s="10" t="str">
        <f t="shared" si="0"/>
        <v>JAN</v>
      </c>
      <c r="K19" s="13"/>
    </row>
    <row r="20" spans="1:16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 t="str">
        <f>IF(D20&gt;=500,"High Price","Standard Price")</f>
        <v>Standard Price</v>
      </c>
      <c r="H20" s="8" t="str">
        <f>LEFT(Dataset!A20,2)</f>
        <v>01</v>
      </c>
      <c r="I20" s="8" t="str">
        <f>RIGHT(A20,2)</f>
        <v>UK</v>
      </c>
      <c r="J20" s="10" t="str">
        <f t="shared" si="0"/>
        <v>MAR</v>
      </c>
      <c r="K20" s="13"/>
    </row>
    <row r="21" spans="1:16" ht="15.75" customHeight="1" x14ac:dyDescent="0.25">
      <c r="A21" s="11" t="s">
        <v>78</v>
      </c>
      <c r="B21" s="11" t="s">
        <v>79</v>
      </c>
      <c r="C21" s="11" t="s">
        <v>80</v>
      </c>
      <c r="D21" s="11">
        <v>200</v>
      </c>
      <c r="E21" s="11">
        <v>10</v>
      </c>
      <c r="F21" s="11" t="s">
        <v>41</v>
      </c>
      <c r="G21" s="8" t="str">
        <f>IF(D21&gt;=500,"High Price","Standard Price")</f>
        <v>Standard Price</v>
      </c>
      <c r="H21" s="8" t="str">
        <f>LEFT(Dataset!A21,2)</f>
        <v>14</v>
      </c>
      <c r="I21" s="8" t="str">
        <f>RIGHT(A21,2)</f>
        <v>US</v>
      </c>
      <c r="J21" s="10" t="str">
        <f t="shared" si="0"/>
        <v>AUG</v>
      </c>
      <c r="K21" s="13"/>
    </row>
    <row r="22" spans="1:16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 t="str">
        <f>IF(D22&gt;=500,"High Price","Standard Price")</f>
        <v>High Price</v>
      </c>
      <c r="H22" s="8" t="str">
        <f>LEFT(Dataset!A22,2)</f>
        <v>14</v>
      </c>
      <c r="I22" s="8" t="str">
        <f>RIGHT(A22,2)</f>
        <v>RU</v>
      </c>
      <c r="J22" s="10" t="str">
        <f t="shared" si="0"/>
        <v>MAY</v>
      </c>
      <c r="K22" s="13"/>
    </row>
    <row r="23" spans="1:16" ht="15.75" customHeight="1" x14ac:dyDescent="0.25">
      <c r="A23" s="11" t="s">
        <v>84</v>
      </c>
      <c r="B23" s="11" t="s">
        <v>85</v>
      </c>
      <c r="C23" s="11" t="s">
        <v>86</v>
      </c>
      <c r="D23" s="11">
        <v>80</v>
      </c>
      <c r="E23" s="11">
        <v>20</v>
      </c>
      <c r="F23" s="11" t="s">
        <v>34</v>
      </c>
      <c r="G23" s="8" t="str">
        <f>IF(D23&gt;=500,"High Price","Standard Price")</f>
        <v>Standard Price</v>
      </c>
      <c r="H23" s="8" t="str">
        <f>LEFT(Dataset!A23,2)</f>
        <v>09</v>
      </c>
      <c r="I23" s="8" t="str">
        <f>RIGHT(A23,2)</f>
        <v>CA</v>
      </c>
      <c r="J23" s="10" t="str">
        <f t="shared" si="0"/>
        <v>JAN</v>
      </c>
      <c r="K23" s="13"/>
    </row>
    <row r="24" spans="1:16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 t="str">
        <f>IF(D24&gt;=500,"High Price","Standard Price")</f>
        <v>Standard Price</v>
      </c>
      <c r="H24" s="8" t="str">
        <f>LEFT(Dataset!A24,2)</f>
        <v>19</v>
      </c>
      <c r="I24" s="8" t="str">
        <f>RIGHT(A24,2)</f>
        <v>BR</v>
      </c>
      <c r="J24" s="10" t="str">
        <f t="shared" si="0"/>
        <v>JUL</v>
      </c>
      <c r="K24" s="13"/>
    </row>
    <row r="25" spans="1:16" ht="15.75" customHeight="1" x14ac:dyDescent="0.25">
      <c r="A25" s="11" t="s">
        <v>67</v>
      </c>
      <c r="B25" s="11" t="s">
        <v>68</v>
      </c>
      <c r="C25" s="11" t="s">
        <v>69</v>
      </c>
      <c r="D25" s="11">
        <v>50</v>
      </c>
      <c r="E25" s="11">
        <v>35</v>
      </c>
      <c r="F25" s="11" t="s">
        <v>70</v>
      </c>
      <c r="G25" s="8" t="str">
        <f>IF(D25&gt;=500,"High Price","Standard Price")</f>
        <v>Standard Price</v>
      </c>
      <c r="H25" s="8" t="str">
        <f>LEFT(Dataset!A25,2)</f>
        <v>21</v>
      </c>
      <c r="I25" s="8" t="str">
        <f>RIGHT(A25,2)</f>
        <v>CA</v>
      </c>
      <c r="J25" s="10" t="str">
        <f t="shared" si="0"/>
        <v>AUG</v>
      </c>
      <c r="K25" s="13"/>
    </row>
    <row r="26" spans="1:16" ht="15.75" customHeight="1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 t="str">
        <f>IF(D26&gt;=500,"High Price","Standard Price")</f>
        <v>High Price</v>
      </c>
      <c r="H26" s="8" t="str">
        <f>LEFT(Dataset!A26,2)</f>
        <v>29</v>
      </c>
      <c r="I26" s="8" t="str">
        <f>RIGHT(A26,2)</f>
        <v>CA</v>
      </c>
      <c r="J26" s="10" t="str">
        <f t="shared" si="0"/>
        <v>SEP</v>
      </c>
      <c r="K26" s="13"/>
    </row>
    <row r="27" spans="1:16" ht="15.75" customHeight="1" x14ac:dyDescent="0.25">
      <c r="A27" s="11" t="s">
        <v>92</v>
      </c>
      <c r="B27" s="11" t="s">
        <v>76</v>
      </c>
      <c r="C27" s="11" t="s">
        <v>93</v>
      </c>
      <c r="D27" s="11">
        <v>130</v>
      </c>
      <c r="E27" s="11">
        <v>25</v>
      </c>
      <c r="F27" s="11" t="s">
        <v>30</v>
      </c>
      <c r="G27" s="8" t="str">
        <f>IF(D27&gt;=500,"High Price","Standard Price")</f>
        <v>Standard Price</v>
      </c>
      <c r="H27" s="8" t="str">
        <f>LEFT(Dataset!A27,2)</f>
        <v>03</v>
      </c>
      <c r="I27" s="8" t="str">
        <f>RIGHT(A27,2)</f>
        <v>CA</v>
      </c>
      <c r="J27" s="10" t="str">
        <f t="shared" si="0"/>
        <v>JUN</v>
      </c>
      <c r="K27" s="13"/>
    </row>
    <row r="28" spans="1:16" ht="15.75" customHeight="1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 t="str">
        <f>IF(D28&gt;=500,"High Price","Standard Price")</f>
        <v>Standard Price</v>
      </c>
      <c r="H28" s="8" t="str">
        <f>LEFT(Dataset!A28,2)</f>
        <v>11</v>
      </c>
      <c r="I28" s="8" t="str">
        <f>RIGHT(A28,2)</f>
        <v>CA</v>
      </c>
      <c r="J28" s="10" t="str">
        <f t="shared" si="0"/>
        <v>JUL</v>
      </c>
      <c r="K28" s="13"/>
    </row>
    <row r="29" spans="1:16" ht="15.75" customHeight="1" x14ac:dyDescent="0.25">
      <c r="A29" s="11" t="s">
        <v>65</v>
      </c>
      <c r="B29" s="11" t="s">
        <v>43</v>
      </c>
      <c r="C29" s="11" t="s">
        <v>66</v>
      </c>
      <c r="D29" s="11">
        <v>230</v>
      </c>
      <c r="E29" s="11">
        <v>20</v>
      </c>
      <c r="F29" s="11" t="s">
        <v>26</v>
      </c>
      <c r="G29" s="8" t="str">
        <f>IF(D29&gt;=500,"High Price","Standard Price")</f>
        <v>Standard Price</v>
      </c>
      <c r="H29" s="8" t="str">
        <f>LEFT(Dataset!A29,2)</f>
        <v>16</v>
      </c>
      <c r="I29" s="8" t="str">
        <f>RIGHT(A29,2)</f>
        <v>ES</v>
      </c>
      <c r="J29" s="10" t="str">
        <f t="shared" si="0"/>
        <v>APR</v>
      </c>
      <c r="K29" s="13"/>
    </row>
    <row r="30" spans="1:16" ht="15.75" customHeight="1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 t="str">
        <f>IF(D30&gt;=500,"High Price","Standard Price")</f>
        <v>Standard Price</v>
      </c>
      <c r="H30" s="8" t="str">
        <f>LEFT(Dataset!A30,2)</f>
        <v>07</v>
      </c>
      <c r="I30" s="8" t="str">
        <f>RIGHT(A30,2)</f>
        <v>CA</v>
      </c>
      <c r="J30" s="10" t="str">
        <f t="shared" si="0"/>
        <v>MAR</v>
      </c>
      <c r="K30" s="13"/>
    </row>
    <row r="31" spans="1:16" ht="15.75" customHeight="1" x14ac:dyDescent="0.25">
      <c r="A31" s="11" t="s">
        <v>99</v>
      </c>
      <c r="B31" s="11" t="s">
        <v>100</v>
      </c>
      <c r="C31" s="11" t="s">
        <v>101</v>
      </c>
      <c r="D31" s="11">
        <v>40</v>
      </c>
      <c r="E31" s="11">
        <v>10</v>
      </c>
      <c r="F31" s="11" t="s">
        <v>34</v>
      </c>
      <c r="G31" s="8" t="str">
        <f>IF(D31&gt;=500,"High Price","Standard Price")</f>
        <v>Standard Price</v>
      </c>
      <c r="H31" s="8" t="str">
        <f>LEFT(Dataset!A31,2)</f>
        <v>13</v>
      </c>
      <c r="I31" s="8" t="str">
        <f>RIGHT(A31,2)</f>
        <v>CA</v>
      </c>
      <c r="J31" s="10" t="str">
        <f t="shared" si="0"/>
        <v>APR</v>
      </c>
      <c r="K31" s="13"/>
    </row>
    <row r="32" spans="1:16" ht="15.75" customHeight="1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 t="str">
        <f>IF(D32&gt;=500,"High Price","Standard Price")</f>
        <v>Standard Price</v>
      </c>
      <c r="H32" s="8" t="str">
        <f>LEFT(Dataset!A32,2)</f>
        <v>24</v>
      </c>
      <c r="I32" s="8" t="str">
        <f>RIGHT(A32,2)</f>
        <v>CA</v>
      </c>
      <c r="J32" s="10" t="str">
        <f t="shared" si="0"/>
        <v>MAY</v>
      </c>
      <c r="K32" s="13"/>
    </row>
    <row r="33" spans="1:11" ht="15.75" customHeight="1" x14ac:dyDescent="0.25">
      <c r="A33" s="11" t="s">
        <v>104</v>
      </c>
      <c r="B33" s="11" t="s">
        <v>105</v>
      </c>
      <c r="C33" s="11" t="s">
        <v>106</v>
      </c>
      <c r="D33" s="11">
        <v>50</v>
      </c>
      <c r="E33" s="11">
        <v>50</v>
      </c>
      <c r="F33" s="11" t="s">
        <v>30</v>
      </c>
      <c r="G33" s="8" t="str">
        <f>IF(D33&gt;=500,"High Price","Standard Price")</f>
        <v>Standard Price</v>
      </c>
      <c r="H33" s="8" t="str">
        <f>LEFT(Dataset!A33,2)</f>
        <v>02</v>
      </c>
      <c r="I33" s="8" t="str">
        <f>RIGHT(A33,2)</f>
        <v>CA</v>
      </c>
      <c r="J33" s="10" t="str">
        <f t="shared" si="0"/>
        <v>DEC</v>
      </c>
      <c r="K33" s="13"/>
    </row>
    <row r="34" spans="1:11" ht="15.75" customHeight="1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 t="str">
        <f>IF(D34&gt;=500,"High Price","Standard Price")</f>
        <v>High Price</v>
      </c>
      <c r="H34" s="8" t="str">
        <f>LEFT(Dataset!A34,2)</f>
        <v>17</v>
      </c>
      <c r="I34" s="8" t="str">
        <f>RIGHT(A34,2)</f>
        <v>IN</v>
      </c>
      <c r="J34" s="10" t="str">
        <f t="shared" si="0"/>
        <v>JUN</v>
      </c>
      <c r="K34" s="13"/>
    </row>
    <row r="35" spans="1:11" ht="15.75" customHeight="1" x14ac:dyDescent="0.25">
      <c r="A35" s="11" t="s">
        <v>107</v>
      </c>
      <c r="B35" s="11" t="s">
        <v>108</v>
      </c>
      <c r="C35" s="11" t="s">
        <v>109</v>
      </c>
      <c r="D35" s="11">
        <v>100</v>
      </c>
      <c r="E35" s="11">
        <v>20</v>
      </c>
      <c r="F35" s="11" t="s">
        <v>70</v>
      </c>
      <c r="G35" s="8" t="str">
        <f>IF(D35&gt;=500,"High Price","Standard Price")</f>
        <v>Standard Price</v>
      </c>
      <c r="H35" s="8" t="str">
        <f>LEFT(Dataset!A35,2)</f>
        <v>09</v>
      </c>
      <c r="I35" s="8" t="str">
        <f>RIGHT(A35,2)</f>
        <v>FR</v>
      </c>
      <c r="J35" s="10" t="str">
        <f t="shared" si="0"/>
        <v>JUL</v>
      </c>
      <c r="K35" s="13"/>
    </row>
    <row r="36" spans="1:11" ht="15.75" customHeight="1" x14ac:dyDescent="0.25">
      <c r="I36" s="6"/>
    </row>
    <row r="37" spans="1:11" ht="15.75" customHeight="1" x14ac:dyDescent="0.25">
      <c r="I37" s="6"/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I</cp:lastModifiedBy>
  <dcterms:created xsi:type="dcterms:W3CDTF">2026-10-14T10:15:27Z</dcterms:created>
  <dcterms:modified xsi:type="dcterms:W3CDTF">2026-10-14T10:15:27Z</dcterms:modified>
</cp:coreProperties>
</file>